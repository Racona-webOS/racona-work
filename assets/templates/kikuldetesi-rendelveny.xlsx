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endelvény" sheetId="1" state="visible" r:id="rId1"/>
    <sheet name="Alapnorma (60-1992)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\-mm\-dd"/>
    <numFmt numFmtId="165" formatCode="0.0#"/>
    <numFmt numFmtId="166" formatCode="0.## &quot;Ft/km&quot;"/>
    <numFmt numFmtId="167" formatCode="yyyy.mm.dd. hh:mm"/>
  </numFmts>
  <fonts count="17">
    <font>
      <name val="Arial CE"/>
      <charset val="238"/>
      <family val="2"/>
      <sz val="10"/>
    </font>
    <font>
      <name val="Arial CE"/>
      <charset val="238"/>
      <family val="2"/>
      <b val="1"/>
      <sz val="16"/>
    </font>
    <font>
      <name val="Arial CE"/>
      <charset val="238"/>
      <family val="2"/>
      <sz val="11"/>
    </font>
    <font>
      <name val="Arial CE"/>
      <charset val="238"/>
      <family val="2"/>
      <b val="1"/>
      <sz val="12"/>
    </font>
    <font>
      <name val="Arial CE"/>
      <charset val="238"/>
      <family val="2"/>
      <b val="1"/>
      <sz val="10"/>
    </font>
    <font>
      <name val="Arial CE"/>
      <charset val="238"/>
      <family val="2"/>
      <sz val="9"/>
    </font>
    <font>
      <name val="Arial CE"/>
      <charset val="238"/>
      <family val="2"/>
      <b val="1"/>
      <sz val="9"/>
    </font>
    <font>
      <name val="Arial CE"/>
      <charset val="238"/>
      <family val="2"/>
      <sz val="8"/>
    </font>
    <font>
      <name val="Arial CE"/>
      <charset val="238"/>
      <family val="2"/>
      <sz val="7"/>
    </font>
    <font>
      <name val="Arial CE"/>
      <charset val="238"/>
      <family val="2"/>
      <sz val="12"/>
    </font>
    <font>
      <name val="Arial CE"/>
      <b val="1"/>
      <sz val="12"/>
    </font>
    <font>
      <name val="Arial CE"/>
      <charset val="238"/>
      <b val="1"/>
      <sz val="10"/>
    </font>
    <font>
      <name val="Arial"/>
      <sz val="10"/>
    </font>
    <font>
      <name val="Arial CE"/>
      <sz val="9"/>
    </font>
    <font>
      <name val="Arial CE"/>
      <sz val="8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6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hair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/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/>
      <diagonal/>
    </border>
    <border>
      <left style="double">
        <color indexed="8"/>
      </left>
      <right style="double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64"/>
      </bottom>
      <diagonal/>
    </border>
    <border>
      <left/>
      <right/>
      <top style="double">
        <color indexed="8"/>
      </top>
      <bottom/>
      <diagonal/>
    </border>
    <border>
      <left/>
      <right style="double">
        <color indexed="8"/>
      </right>
      <top style="double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double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double">
        <color indexed="8"/>
      </left>
      <right/>
      <top/>
      <bottom/>
      <diagonal/>
    </border>
    <border>
      <left/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double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double">
        <color indexed="8"/>
      </right>
      <top/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double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/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</borders>
  <cellStyleXfs count="1">
    <xf numFmtId="0" fontId="0" fillId="0" borderId="0"/>
  </cellStyleXfs>
  <cellXfs count="102">
    <xf numFmtId="0" fontId="0" fillId="0" borderId="0" pivotButton="0" quotePrefix="0" xfId="0"/>
    <xf numFmtId="164" fontId="5" fillId="0" borderId="2" pivotButton="0" quotePrefix="0" xfId="0"/>
    <xf numFmtId="0" fontId="5" fillId="0" borderId="2" pivotButton="0" quotePrefix="0" xfId="0"/>
    <xf numFmtId="0" fontId="5" fillId="0" borderId="3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3" pivotButton="0" quotePrefix="0" xfId="0"/>
    <xf numFmtId="0" fontId="0" fillId="0" borderId="6" pivotButton="0" quotePrefix="0" xfId="0"/>
    <xf numFmtId="164" fontId="5" fillId="0" borderId="3" pivotButton="0" quotePrefix="0" xfId="0"/>
    <xf numFmtId="0" fontId="0" fillId="0" borderId="7" pivotButton="0" quotePrefix="0" xfId="0"/>
    <xf numFmtId="0" fontId="0" fillId="0" borderId="1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3" fontId="0" fillId="0" borderId="5" pivotButton="0" quotePrefix="0" xfId="0"/>
    <xf numFmtId="0" fontId="9" fillId="0" borderId="0" pivotButton="0" quotePrefix="0" xfId="0"/>
    <xf numFmtId="0" fontId="3" fillId="0" borderId="0" pivotButton="0" quotePrefix="0" xfId="0"/>
    <xf numFmtId="0" fontId="9" fillId="0" borderId="0" applyAlignment="1" pivotButton="0" quotePrefix="0" xfId="0">
      <alignment horizontal="right"/>
    </xf>
    <xf numFmtId="0" fontId="4" fillId="0" borderId="8" pivotButton="0" quotePrefix="0" xfId="0"/>
    <xf numFmtId="3" fontId="4" fillId="0" borderId="9" pivotButton="0" quotePrefix="0" xfId="0"/>
    <xf numFmtId="0" fontId="4" fillId="0" borderId="10" pivotButton="0" quotePrefix="0" xfId="0"/>
    <xf numFmtId="0" fontId="0" fillId="0" borderId="11" applyAlignment="1" pivotButton="0" quotePrefix="0" xfId="0">
      <alignment horizontal="right"/>
    </xf>
    <xf numFmtId="0" fontId="0" fillId="0" borderId="12" applyAlignment="1" pivotButton="0" quotePrefix="0" xfId="0">
      <alignment horizontal="right"/>
    </xf>
    <xf numFmtId="3" fontId="4" fillId="0" borderId="13" applyAlignment="1" pivotButton="0" quotePrefix="0" xfId="0">
      <alignment horizontal="left"/>
    </xf>
    <xf numFmtId="3" fontId="4" fillId="0" borderId="14" applyAlignment="1" pivotButton="0" quotePrefix="0" xfId="0">
      <alignment horizontal="left"/>
    </xf>
    <xf numFmtId="0" fontId="5" fillId="0" borderId="3" applyAlignment="1" pivotButton="0" quotePrefix="0" xfId="0">
      <alignment wrapText="1"/>
    </xf>
    <xf numFmtId="22" fontId="5" fillId="0" borderId="15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5" pivotButton="0" quotePrefix="0" xfId="0"/>
    <xf numFmtId="37" fontId="0" fillId="0" borderId="15" pivotButton="0" quotePrefix="0" xfId="0"/>
    <xf numFmtId="0" fontId="0" fillId="0" borderId="26" pivotButton="0" quotePrefix="0" xfId="0"/>
    <xf numFmtId="0" fontId="5" fillId="0" borderId="2" applyAlignment="1" pivotButton="0" quotePrefix="0" xfId="0">
      <alignment wrapText="1"/>
    </xf>
    <xf numFmtId="164" fontId="5" fillId="0" borderId="15" pivotButton="0" quotePrefix="0" xfId="0"/>
    <xf numFmtId="0" fontId="5" fillId="0" borderId="15" pivotButton="0" quotePrefix="0" xfId="0"/>
    <xf numFmtId="0" fontId="5" fillId="0" borderId="15" applyAlignment="1" pivotButton="0" quotePrefix="0" xfId="0">
      <alignment wrapText="1"/>
    </xf>
    <xf numFmtId="0" fontId="0" fillId="0" borderId="27" pivotButton="0" quotePrefix="0" xfId="0"/>
    <xf numFmtId="0" fontId="0" fillId="0" borderId="28" applyAlignment="1" pivotButton="0" quotePrefix="0" xfId="0">
      <alignment wrapText="1"/>
    </xf>
    <xf numFmtId="0" fontId="0" fillId="0" borderId="28" pivotButton="0" quotePrefix="0" xfId="0"/>
    <xf numFmtId="37" fontId="0" fillId="0" borderId="28" pivotButton="0" quotePrefix="0" xfId="0"/>
    <xf numFmtId="0" fontId="0" fillId="0" borderId="30" pivotButton="0" quotePrefix="0" xfId="0"/>
    <xf numFmtId="0" fontId="5" fillId="0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5" fillId="0" borderId="16" pivotButton="0" quotePrefix="0" xfId="0"/>
    <xf numFmtId="0" fontId="0" fillId="0" borderId="17" applyAlignment="1" pivotButton="0" quotePrefix="0" xfId="0">
      <alignment horizontal="center" vertical="center" textRotation="90"/>
    </xf>
    <xf numFmtId="0" fontId="5" fillId="0" borderId="18" applyAlignment="1" pivotButton="0" quotePrefix="0" xfId="0">
      <alignment horizontal="center" vertical="center"/>
    </xf>
    <xf numFmtId="0" fontId="7" fillId="0" borderId="19" applyAlignment="1" pivotButton="0" quotePrefix="0" xfId="0">
      <alignment horizontal="center" vertical="center" wrapText="1"/>
    </xf>
    <xf numFmtId="0" fontId="7" fillId="0" borderId="31" applyAlignment="1" pivotButton="0" quotePrefix="0" xfId="0">
      <alignment horizontal="center" vertical="center" wrapText="1"/>
    </xf>
    <xf numFmtId="0" fontId="7" fillId="0" borderId="20" applyAlignment="1" pivotButton="0" quotePrefix="0" xfId="0">
      <alignment horizontal="center" vertical="center" wrapText="1"/>
    </xf>
    <xf numFmtId="0" fontId="7" fillId="0" borderId="29" applyAlignment="1" pivotButton="0" quotePrefix="0" xfId="0">
      <alignment horizontal="center" vertical="center" wrapText="1"/>
    </xf>
    <xf numFmtId="0" fontId="0" fillId="0" borderId="21" pivotButton="0" quotePrefix="0" xfId="0"/>
    <xf numFmtId="0" fontId="4" fillId="0" borderId="22" pivotButton="0" quotePrefix="0" xfId="0"/>
    <xf numFmtId="0" fontId="11" fillId="0" borderId="22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5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24" applyAlignment="1" pivotButton="0" quotePrefix="0" xfId="0">
      <alignment vertical="top"/>
    </xf>
    <xf numFmtId="0" fontId="12" fillId="0" borderId="0" applyAlignment="1" pivotButton="0" quotePrefix="0" xfId="0">
      <alignment horizontal="right"/>
    </xf>
    <xf numFmtId="0" fontId="0" fillId="0" borderId="32" pivotButton="0" quotePrefix="0" xfId="0"/>
    <xf numFmtId="0" fontId="0" fillId="0" borderId="33" pivotButton="0" quotePrefix="0" xfId="0"/>
    <xf numFmtId="0" fontId="4" fillId="0" borderId="22" applyAlignment="1" pivotButton="0" quotePrefix="0" xfId="0">
      <alignment horizontal="center" vertical="center"/>
    </xf>
    <xf numFmtId="0" fontId="0" fillId="0" borderId="39" pivotButton="0" quotePrefix="0" xfId="0"/>
    <xf numFmtId="0" fontId="0" fillId="0" borderId="40" pivotButton="0" quotePrefix="0" xfId="0"/>
    <xf numFmtId="0" fontId="0" fillId="0" borderId="23" applyAlignment="1" pivotButton="0" quotePrefix="0" xfId="0">
      <alignment vertical="top" wrapText="1"/>
    </xf>
    <xf numFmtId="0" fontId="0" fillId="0" borderId="41" pivotButton="0" quotePrefix="0" xfId="0"/>
    <xf numFmtId="0" fontId="0" fillId="0" borderId="43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44" pivotButton="0" quotePrefix="0" xfId="0"/>
    <xf numFmtId="0" fontId="0" fillId="0" borderId="25" applyAlignment="1" pivotButton="0" quotePrefix="0" xfId="0">
      <alignment vertical="top"/>
    </xf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53" pivotButton="0" quotePrefix="0" xfId="0"/>
    <xf numFmtId="165" fontId="13" fillId="0" borderId="0" applyAlignment="1" pivotButton="0" quotePrefix="0" xfId="0">
      <alignment horizontal="right"/>
    </xf>
    <xf numFmtId="0" fontId="13" fillId="0" borderId="0" pivotButton="0" quotePrefix="0" xfId="0"/>
    <xf numFmtId="0" fontId="13" fillId="0" borderId="0" applyAlignment="1" pivotButton="0" quotePrefix="0" xfId="0">
      <alignment horizontal="right"/>
    </xf>
    <xf numFmtId="166" fontId="13" fillId="0" borderId="0" pivotButton="0" quotePrefix="0" xfId="0"/>
    <xf numFmtId="0" fontId="0" fillId="0" borderId="58" pivotButton="0" quotePrefix="0" xfId="0"/>
    <xf numFmtId="0" fontId="0" fillId="0" borderId="56" pivotButton="0" quotePrefix="0" xfId="0"/>
    <xf numFmtId="0" fontId="0" fillId="0" borderId="61" pivotButton="0" quotePrefix="0" xfId="0"/>
    <xf numFmtId="0" fontId="0" fillId="0" borderId="63" pivotButton="0" quotePrefix="0" xfId="0"/>
    <xf numFmtId="167" fontId="5" fillId="0" borderId="15" applyAlignment="1" pivotButton="0" quotePrefix="0" xfId="0">
      <alignment wrapText="1"/>
    </xf>
    <xf numFmtId="0" fontId="0" fillId="0" borderId="28" applyAlignment="1" pivotButton="0" quotePrefix="0" xfId="0">
      <alignment vertical="top" wrapText="1"/>
    </xf>
    <xf numFmtId="0" fontId="14" fillId="0" borderId="28" applyAlignment="1" pivotButton="0" quotePrefix="0" xfId="0">
      <alignment vertical="top" wrapText="1"/>
    </xf>
    <xf numFmtId="4" fontId="0" fillId="0" borderId="15" pivotButton="0" quotePrefix="0" xfId="0"/>
    <xf numFmtId="4" fontId="0" fillId="0" borderId="5" pivotButton="0" quotePrefix="0" xfId="0"/>
    <xf numFmtId="0" fontId="15" fillId="0" borderId="0" pivotButton="0" quotePrefix="0" xfId="0"/>
    <xf numFmtId="0" fontId="16" fillId="0" borderId="0" pivotButton="0" quotePrefix="0" xfId="0"/>
  </cellXfs>
  <cellStyles count="1">
    <cellStyle name="Normá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3"/>
  <sheetViews>
    <sheetView showGridLines="0" showZeros="0" tabSelected="1" topLeftCell="A1" zoomScaleNormal="100" zoomScaleSheetLayoutView="100" workbookViewId="0">
      <selection activeCell="A1" sqref="A1"/>
    </sheetView>
  </sheetViews>
  <sheetFormatPr baseColWidth="8" defaultRowHeight="12.75"/>
  <cols>
    <col width="1.7109375" customWidth="1" style="44" min="1" max="1"/>
    <col width="3.7109375" customWidth="1" style="44" min="2" max="2"/>
    <col width="15.42578125" bestFit="1" customWidth="1" style="44" min="3" max="3"/>
    <col width="16.140625" bestFit="1" customWidth="1" style="44" min="4" max="4"/>
    <col width="22.42578125" bestFit="1" customWidth="1" style="44" min="5" max="5"/>
    <col width="7.140625" customWidth="1" style="44" min="6" max="6"/>
    <col width="8.7109375" customWidth="1" style="44" min="7" max="9"/>
    <col width="7.5703125" customWidth="1" style="44" min="10" max="10"/>
    <col width="7.28515625" customWidth="1" style="44" min="11" max="11"/>
    <col width="8.5703125" customWidth="1" style="44" min="12" max="12"/>
  </cols>
  <sheetData>
    <row r="1">
      <c r="I1" s="66" t="inlineStr">
        <is>
          <t>Biz.szám: {{doc.number}}</t>
        </is>
      </c>
    </row>
    <row r="2" ht="20.25" customHeight="1" s="44">
      <c r="B2" s="61" t="inlineStr">
        <is>
          <t>Kiküldetési rendelvény</t>
        </is>
      </c>
    </row>
    <row r="3" ht="14.25" customHeight="1" s="44">
      <c r="B3" s="62" t="inlineStr">
        <is>
          <t>A hivatali, üzleti utazás költségtérítéséhez</t>
        </is>
      </c>
    </row>
    <row r="4" ht="20.1" customHeight="1" s="44">
      <c r="B4" s="63" t="inlineStr">
        <is>
          <t>{{period.label}}</t>
        </is>
      </c>
    </row>
    <row r="6" ht="20.1" customHeight="1" s="44">
      <c r="B6" s="65" t="inlineStr">
        <is>
          <t>A munkáltató</t>
        </is>
      </c>
      <c r="C6" s="67" t="n"/>
      <c r="D6" s="67" t="n"/>
      <c r="E6" s="67" t="n"/>
      <c r="F6" s="68" t="n"/>
      <c r="G6" s="65" t="inlineStr">
        <is>
          <t>A munkavállaló</t>
        </is>
      </c>
      <c r="H6" s="67" t="n"/>
      <c r="I6" s="67" t="n"/>
      <c r="J6" s="67" t="n"/>
      <c r="K6" s="67" t="n"/>
      <c r="L6" s="68" t="n"/>
    </row>
    <row r="7" ht="18.6" customHeight="1" s="44">
      <c r="B7" s="69" t="inlineStr">
        <is>
          <t>{{employer.name}}</t>
        </is>
      </c>
      <c r="C7" s="70" t="n"/>
      <c r="D7" s="70" t="n"/>
      <c r="E7" s="70" t="n"/>
      <c r="F7" s="71" t="n"/>
      <c r="G7" s="57" t="inlineStr">
        <is>
          <t>{{employee.name}}</t>
        </is>
      </c>
      <c r="H7" s="70" t="n"/>
      <c r="I7" s="70" t="n"/>
      <c r="J7" s="70" t="n"/>
      <c r="K7" s="70" t="n"/>
      <c r="L7" s="71" t="n"/>
    </row>
    <row r="8" ht="18.6" customHeight="1" s="44">
      <c r="B8" s="72" t="inlineStr">
        <is>
          <t>Címe: {{employer.address}}</t>
        </is>
      </c>
      <c r="C8" s="73" t="n"/>
      <c r="D8" s="73" t="n"/>
      <c r="E8" s="73" t="n"/>
      <c r="F8" s="74" t="n"/>
      <c r="G8" s="59" t="inlineStr">
        <is>
          <t>Lakcíme: {{employee.address}}</t>
        </is>
      </c>
      <c r="H8" s="75" t="n"/>
      <c r="I8" s="75" t="n"/>
      <c r="J8" s="75" t="n"/>
      <c r="K8" s="75" t="n"/>
      <c r="L8" s="76" t="n"/>
    </row>
    <row r="9" ht="18.6" customHeight="1" s="44">
      <c r="B9" s="77" t="n"/>
      <c r="C9" s="70" t="n"/>
      <c r="D9" s="70" t="n"/>
      <c r="E9" s="70" t="n"/>
      <c r="F9" s="71" t="n"/>
      <c r="G9" s="59" t="inlineStr">
        <is>
          <t>születési ideje, helye: {{employee.birth}}</t>
        </is>
      </c>
      <c r="H9" s="75" t="n"/>
      <c r="I9" s="75" t="n"/>
      <c r="J9" s="75" t="n"/>
      <c r="K9" s="75" t="n"/>
      <c r="L9" s="76" t="n"/>
    </row>
    <row r="10" ht="18.6" customHeight="1" s="44">
      <c r="B10" s="78" t="inlineStr">
        <is>
          <t>Adószáma: {{employer.taxNumber}}</t>
        </is>
      </c>
      <c r="C10" s="73" t="n"/>
      <c r="D10" s="73" t="n"/>
      <c r="E10" s="73" t="n"/>
      <c r="F10" s="74" t="n"/>
      <c r="G10" s="59" t="inlineStr">
        <is>
          <t>anyja neve: {{employee.motherName}}</t>
        </is>
      </c>
      <c r="H10" s="75" t="n"/>
      <c r="I10" s="75" t="n"/>
      <c r="J10" s="75" t="n"/>
      <c r="K10" s="75" t="n"/>
      <c r="L10" s="76" t="n"/>
    </row>
    <row r="11" ht="18.6" customHeight="1" s="44">
      <c r="B11" s="79" t="n"/>
      <c r="C11" s="80" t="n"/>
      <c r="D11" s="80" t="n"/>
      <c r="E11" s="80" t="n"/>
      <c r="F11" s="81" t="n"/>
      <c r="G11" s="60" t="inlineStr">
        <is>
          <t>adóazonosító jele: {{employee.taxId}}</t>
        </is>
      </c>
      <c r="H11" s="82" t="n"/>
      <c r="I11" s="82" t="n"/>
      <c r="J11" s="82" t="n"/>
      <c r="K11" s="82" t="n"/>
      <c r="L11" s="83" t="n"/>
    </row>
    <row r="12" ht="18.6" customHeight="1" s="44">
      <c r="B12" s="55" t="inlineStr">
        <is>
          <t>A gépjármű rendszáma: {{vehicle.plate}}    típusa: {{vehicle.model}}    {{vehicle.engineCc}} cm³ ({{vehicle.fuel}})</t>
        </is>
      </c>
      <c r="C12" s="84" t="n"/>
      <c r="D12" s="84" t="n"/>
      <c r="E12" s="84" t="n"/>
      <c r="F12" s="84" t="n"/>
      <c r="G12" s="84" t="n"/>
      <c r="H12" s="84" t="n"/>
      <c r="I12" s="84" t="n"/>
      <c r="J12" s="84" t="n"/>
      <c r="K12" s="84" t="n"/>
      <c r="L12" s="85" t="n"/>
    </row>
    <row r="13" ht="18.6" customHeight="1" s="44" thickBot="1">
      <c r="B13" s="48" t="inlineStr">
        <is>
          <t>Az üzemanyag-felhasználás módja: {{vehicle.consumptionBasis}}</t>
        </is>
      </c>
      <c r="C13" s="82" t="n"/>
      <c r="D13" s="82" t="n"/>
      <c r="E13" s="82" t="n"/>
      <c r="F13" s="82" t="n"/>
      <c r="G13" s="86" t="n"/>
      <c r="H13" s="87" t="inlineStr">
        <is>
          <t>{{vehicle.consumption}}</t>
        </is>
      </c>
      <c r="I13" s="88" t="inlineStr">
        <is>
          <t>{{vehicle.consumptionUnit}}</t>
        </is>
      </c>
      <c r="J13" s="89" t="inlineStr">
        <is>
          <t>Normaköltség:</t>
        </is>
      </c>
      <c r="L13" s="90" t="inlineStr">
        <is>
          <t>{{rate.normCost}}</t>
        </is>
      </c>
    </row>
    <row r="14" ht="18.6" customHeight="1" s="44" thickBot="1">
      <c r="B14" s="49" t="inlineStr">
        <is>
          <t>Sorszám</t>
        </is>
      </c>
      <c r="C14" s="50" t="inlineStr">
        <is>
          <t>A küldetés, külszolgálat</t>
        </is>
      </c>
      <c r="D14" s="84" t="n"/>
      <c r="E14" s="84" t="n"/>
      <c r="F14" s="91" t="n"/>
      <c r="G14" s="51" t="inlineStr">
        <is>
          <t>Futás-teljesítmény (km)</t>
        </is>
      </c>
      <c r="H14" s="51" t="inlineStr">
        <is>
          <t>NAV üzemanyag-egységár ({{rate.priceUnit}})</t>
        </is>
      </c>
      <c r="I14" s="51" t="inlineStr">
        <is>
          <t>Utazási költség-térítés (Ft)</t>
        </is>
      </c>
      <c r="J14" s="51" t="inlineStr">
        <is>
          <t>Élelmezési költségté-rítés (napi-díj) (Ft)</t>
        </is>
      </c>
      <c r="K14" s="51" t="inlineStr">
        <is>
          <t>Szállás költség (Ft)</t>
        </is>
      </c>
      <c r="L14" s="53" t="inlineStr">
        <is>
          <t>Le: kötelező reggeli miatt</t>
        </is>
      </c>
    </row>
    <row r="15" ht="30" customHeight="1" s="44" thickBot="1">
      <c r="B15" s="92" t="n"/>
      <c r="C15" s="42" t="inlineStr">
        <is>
          <t>kezdete</t>
        </is>
      </c>
      <c r="D15" s="42" t="inlineStr">
        <is>
          <t>vége</t>
        </is>
      </c>
      <c r="E15" s="42" t="inlineStr">
        <is>
          <t>útvonala és célja</t>
        </is>
      </c>
      <c r="F15" s="43" t="inlineStr">
        <is>
          <t>Elrende-lőjének aláírása</t>
        </is>
      </c>
      <c r="G15" s="93" t="n"/>
      <c r="H15" s="93" t="n"/>
      <c r="I15" s="93" t="n"/>
      <c r="J15" s="93" t="n"/>
      <c r="K15" s="93" t="n"/>
      <c r="L15" s="94" t="n"/>
    </row>
    <row r="16" s="44">
      <c r="B16" s="6" t="inlineStr">
        <is>
          <t>{{trip.index}}</t>
        </is>
      </c>
      <c r="C16" s="95" t="inlineStr">
        <is>
          <t>{{trip.start}}</t>
        </is>
      </c>
      <c r="D16" s="95" t="inlineStr">
        <is>
          <t>{{trip.end}}</t>
        </is>
      </c>
      <c r="E16" s="96" t="inlineStr">
        <is>
          <t>{{trip.route}}</t>
        </is>
      </c>
      <c r="F16" s="97" t="inlineStr">
        <is>
          <t>{{trip.orderedBy}}</t>
        </is>
      </c>
      <c r="G16" s="39" t="inlineStr">
        <is>
          <t>{{trip.km}}</t>
        </is>
      </c>
      <c r="H16" s="39" t="inlineStr">
        <is>
          <t>{{trip.price}}</t>
        </is>
      </c>
      <c r="I16" s="98">
        <f>G16*(H16/100*$H$13+$L$13)</f>
        <v/>
      </c>
      <c r="J16" s="39" t="inlineStr">
        <is>
          <t>{{trip.meal}}</t>
        </is>
      </c>
      <c r="K16" s="41" t="inlineStr">
        <is>
          <t>{{trip.lodging}}</t>
        </is>
      </c>
      <c r="L16" s="5" t="inlineStr">
        <is>
          <t>{{trip.breakfast}}</t>
        </is>
      </c>
    </row>
    <row r="17" ht="18.6" customHeight="1" s="44">
      <c r="B17" s="10" t="n"/>
      <c r="C17" s="11" t="n"/>
      <c r="D17" s="11" t="n"/>
      <c r="E17" s="12" t="inlineStr">
        <is>
          <t>Összes:</t>
        </is>
      </c>
      <c r="F17" s="11" t="n"/>
      <c r="G17" s="20">
        <f>SUM(G16:G16)</f>
        <v/>
      </c>
      <c r="H17" s="13">
        <f>H16</f>
        <v/>
      </c>
      <c r="I17" s="98">
        <f>G17*(H17/100*$H$13+$L$13)</f>
        <v/>
      </c>
      <c r="J17" s="7" t="n"/>
      <c r="K17" s="7" t="n"/>
      <c r="L17" s="8" t="n"/>
    </row>
    <row r="18" ht="18.6" customHeight="1" s="44">
      <c r="E18" s="45" t="n"/>
      <c r="F18" s="46" t="n"/>
      <c r="G18" s="45" t="inlineStr">
        <is>
          <t>Összesen:</t>
        </is>
      </c>
      <c r="I18" s="99">
        <f>SUM(I16:I16)</f>
        <v/>
      </c>
      <c r="J18" s="7" t="n"/>
      <c r="K18" s="7" t="n"/>
      <c r="L18" s="8" t="n"/>
    </row>
    <row r="19" ht="18.6" customHeight="1" s="44">
      <c r="C19" s="46" t="n"/>
      <c r="D19" s="46" t="n"/>
      <c r="E19" s="45" t="n"/>
      <c r="F19" s="46" t="n"/>
      <c r="G19" s="46" t="inlineStr">
        <is>
          <t>Kerekítés:</t>
        </is>
      </c>
      <c r="I19" s="99">
        <f>ROUND(I18,0)-I18</f>
        <v/>
      </c>
      <c r="J19" s="24" t="n"/>
      <c r="K19" s="23" t="n"/>
      <c r="L19" s="8" t="n"/>
    </row>
    <row r="20" ht="18.6" customHeight="1" s="44">
      <c r="B20" t="inlineStr">
        <is>
          <t>Kelt: {{doc.date}}</t>
        </is>
      </c>
      <c r="G20" s="47" t="inlineStr">
        <is>
          <t>Mindösszesen:</t>
        </is>
      </c>
      <c r="I20" s="21">
        <f>I18+I19</f>
        <v/>
      </c>
      <c r="J20" s="26" t="n"/>
      <c r="K20" s="25" t="n"/>
      <c r="L20" s="22" t="n"/>
    </row>
    <row r="21" ht="21.95" customHeight="1" s="44"/>
    <row r="22" ht="21.95" customHeight="1" s="44">
      <c r="B22" t="inlineStr">
        <is>
          <t>Igazolta: {{approval.text}} ______________________</t>
        </is>
      </c>
    </row>
    <row r="23" ht="24.6" customHeight="1" s="44">
      <c r="B23" t="inlineStr">
        <is>
          <t>Utalványozta: {{payment.text}} ______________________</t>
        </is>
      </c>
    </row>
    <row r="24" s="44"/>
    <row r="25" s="44"/>
    <row r="26" s="44"/>
    <row r="27" s="44"/>
    <row r="28" s="44"/>
    <row r="29" s="44"/>
    <row r="30" s="44"/>
    <row r="31" s="44"/>
    <row r="32" s="44" thickBot="1"/>
    <row r="33" s="44"/>
    <row r="34" s="44"/>
    <row r="35" s="44"/>
  </sheetData>
  <mergeCells count="32">
    <mergeCell ref="B4:L4"/>
    <mergeCell ref="B7:F7"/>
    <mergeCell ref="I1:L1"/>
    <mergeCell ref="G10:L10"/>
    <mergeCell ref="G6:L6"/>
    <mergeCell ref="B10:F11"/>
    <mergeCell ref="B3:L3"/>
    <mergeCell ref="B22:F22"/>
    <mergeCell ref="B13:G13"/>
    <mergeCell ref="J13:K13"/>
    <mergeCell ref="B14:B15"/>
    <mergeCell ref="B21:F21"/>
    <mergeCell ref="L14:L15"/>
    <mergeCell ref="B12:L12"/>
    <mergeCell ref="B2:L2"/>
    <mergeCell ref="G19:H19"/>
    <mergeCell ref="G18:H18"/>
    <mergeCell ref="C14:F14"/>
    <mergeCell ref="G14:G15"/>
    <mergeCell ref="I14:I15"/>
    <mergeCell ref="K14:K15"/>
    <mergeCell ref="G9:L9"/>
    <mergeCell ref="G21:L21"/>
    <mergeCell ref="H14:H15"/>
    <mergeCell ref="G11:L11"/>
    <mergeCell ref="J14:J15"/>
    <mergeCell ref="G20:H20"/>
    <mergeCell ref="B6:F6"/>
    <mergeCell ref="B8:F9"/>
    <mergeCell ref="B20:F20"/>
    <mergeCell ref="G8:L8"/>
    <mergeCell ref="G7:L7"/>
  </mergeCells>
  <pageMargins left="0.7875" right="0.4333333333333333" top="1.052777777777778" bottom="1.052777777777778" header="0.7875" footer="0.7875"/>
  <pageSetup orientation="portrait" paperSize="9" scale="74" fitToHeight="0" fitToWidth="1" firstPageNumber="0" horizontalDpi="300" verticalDpi="300"/>
  <headerFooter alignWithMargins="0">
    <oddHeader/>
    <oddFooter>&amp;C&amp;"Times New Roman,Normál"&amp;12 Oldal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style="44" min="1" max="1"/>
    <col width="10" customWidth="1" style="44" min="2" max="2"/>
    <col width="10" customWidth="1" style="44" min="3" max="3"/>
  </cols>
  <sheetData>
    <row r="1">
      <c r="A1" s="100" t="inlineStr">
        <is>
          <t>Üzemanyag-fogyasztási alapnorma (l/100 km)</t>
        </is>
      </c>
    </row>
    <row r="2">
      <c r="A2" t="inlineStr">
        <is>
          <t>60/1992. (IV. 1.) Korm. rendelet — tájékoztató</t>
        </is>
      </c>
    </row>
    <row r="3"/>
    <row r="4">
      <c r="A4" s="101" t="inlineStr">
        <is>
          <t>Hengerűrtartalom</t>
        </is>
      </c>
      <c r="B4" s="101" t="inlineStr">
        <is>
          <t>Benzin</t>
        </is>
      </c>
      <c r="C4" s="101" t="inlineStr">
        <is>
          <t>Gázolaj</t>
        </is>
      </c>
    </row>
    <row r="5">
      <c r="A5" t="inlineStr">
        <is>
          <t>1000 cm³-ig</t>
        </is>
      </c>
      <c r="B5" t="n">
        <v>7.6</v>
      </c>
      <c r="C5" t="n">
        <v>5.7</v>
      </c>
    </row>
    <row r="6">
      <c r="A6" t="inlineStr">
        <is>
          <t>1001–1500 cm³</t>
        </is>
      </c>
      <c r="B6" t="n">
        <v>8.6</v>
      </c>
      <c r="C6" t="n">
        <v>5.7</v>
      </c>
    </row>
    <row r="7">
      <c r="A7" t="inlineStr">
        <is>
          <t>1501–2000 cm³</t>
        </is>
      </c>
      <c r="B7" t="n">
        <v>9.5</v>
      </c>
      <c r="C7" t="n">
        <v>6.7</v>
      </c>
    </row>
    <row r="8">
      <c r="A8" t="inlineStr">
        <is>
          <t>2001–3000 cm³</t>
        </is>
      </c>
      <c r="B8" t="n">
        <v>11.4</v>
      </c>
      <c r="C8" t="n">
        <v>7.6</v>
      </c>
    </row>
    <row r="9">
      <c r="A9" t="inlineStr">
        <is>
          <t>3000 cm³ felett</t>
        </is>
      </c>
      <c r="B9" t="n">
        <v>13.3</v>
      </c>
      <c r="C9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Racona Work</dc:creator>
  <dc:title>Kiküldetési rendelvény</dc:title>
  <dcterms:created xsi:type="dcterms:W3CDTF">2026-09-11T00:00:00Z</dcterms:created>
  <dcterms:modified xsi:type="dcterms:W3CDTF">2026-09-11T07:23:24Z</dcterms:modified>
  <cp:lastModifiedBy>Racona Work</cp:lastModifiedBy>
  <cp:lastPrinted>2024-12-02T06:36:27Z</cp:lastPrinted>
</cp:coreProperties>
</file>